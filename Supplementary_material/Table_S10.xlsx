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1 Ete/1 Proyecto de investigacion/1st paper/Archivos_soporte/"/>
    </mc:Choice>
  </mc:AlternateContent>
  <xr:revisionPtr revIDLastSave="150" documentId="8_{F59ED768-12F2-43D2-BF5B-2C9934F377DF}" xr6:coauthVersionLast="47" xr6:coauthVersionMax="47" xr10:uidLastSave="{8EA95FC3-DFE1-4C7C-AFAC-78A17AB3DB81}"/>
  <bookViews>
    <workbookView xWindow="-108" yWindow="-108" windowWidth="23256" windowHeight="12456" xr2:uid="{02432453-3DBC-4DDB-B950-D7CE0964EA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E28" i="1"/>
  <c r="C28" i="1"/>
  <c r="F27" i="1"/>
  <c r="E27" i="1"/>
  <c r="D27" i="1"/>
  <c r="C27" i="1"/>
  <c r="C23" i="1"/>
  <c r="E23" i="1"/>
  <c r="D23" i="1"/>
  <c r="C14" i="1"/>
  <c r="F18" i="1"/>
  <c r="E5" i="1"/>
  <c r="E6" i="1"/>
  <c r="E7" i="1"/>
  <c r="E8" i="1"/>
  <c r="E9" i="1"/>
  <c r="E10" i="1"/>
  <c r="E11" i="1"/>
  <c r="E12" i="1"/>
  <c r="E13" i="1"/>
  <c r="E4" i="1"/>
  <c r="E14" i="1" s="1"/>
  <c r="E15" i="1"/>
  <c r="D5" i="1"/>
  <c r="D6" i="1"/>
  <c r="D7" i="1"/>
  <c r="D8" i="1"/>
  <c r="D9" i="1"/>
  <c r="D10" i="1"/>
  <c r="D11" i="1"/>
  <c r="D12" i="1"/>
  <c r="D13" i="1"/>
  <c r="D4" i="1"/>
  <c r="D15" i="1"/>
  <c r="E26" i="1"/>
  <c r="D26" i="1"/>
  <c r="E25" i="1"/>
  <c r="D25" i="1"/>
  <c r="E24" i="1"/>
  <c r="D24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F23" i="1" l="1"/>
  <c r="D14" i="1"/>
  <c r="F15" i="1"/>
  <c r="F20" i="1"/>
  <c r="F19" i="1"/>
  <c r="F17" i="1"/>
  <c r="F16" i="1"/>
  <c r="F13" i="1"/>
  <c r="F12" i="1"/>
  <c r="F11" i="1"/>
  <c r="F10" i="1"/>
  <c r="F4" i="1"/>
  <c r="F9" i="1"/>
  <c r="F26" i="1"/>
  <c r="F8" i="1"/>
  <c r="F25" i="1"/>
  <c r="F7" i="1"/>
  <c r="F24" i="1"/>
  <c r="F6" i="1"/>
  <c r="F22" i="1"/>
  <c r="F5" i="1"/>
  <c r="F21" i="1"/>
  <c r="F28" i="1"/>
  <c r="F14" i="1" l="1"/>
</calcChain>
</file>

<file path=xl/sharedStrings.xml><?xml version="1.0" encoding="utf-8"?>
<sst xmlns="http://schemas.openxmlformats.org/spreadsheetml/2006/main" count="56" uniqueCount="33">
  <si>
    <t>Sector</t>
  </si>
  <si>
    <t>Ton CO2 eq</t>
  </si>
  <si>
    <t>Ton CO2 eq/ household</t>
  </si>
  <si>
    <t>Ton CO2 eq/ capita</t>
  </si>
  <si>
    <t>Governments final consumption expenditure</t>
  </si>
  <si>
    <t>Defence services</t>
  </si>
  <si>
    <t>Educational services</t>
  </si>
  <si>
    <t>Hospitals</t>
  </si>
  <si>
    <t>Nursing and residential care facilities</t>
  </si>
  <si>
    <t>Other aboriginal government services</t>
  </si>
  <si>
    <t>Other federal government services (except defence)</t>
  </si>
  <si>
    <t>Other municipal government services</t>
  </si>
  <si>
    <t>Other provincial and territorial government services</t>
  </si>
  <si>
    <t>Construction</t>
  </si>
  <si>
    <t>Intellectual property products</t>
  </si>
  <si>
    <t>Gross fixed capital formation</t>
  </si>
  <si>
    <t>Machinery and equipment</t>
  </si>
  <si>
    <t>Total</t>
  </si>
  <si>
    <t>Sub-Sector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</si>
  <si>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</si>
  <si>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</si>
  <si>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</si>
  <si>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</si>
  <si>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</si>
  <si>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</si>
  <si>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</si>
  <si>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</si>
  <si>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Households expenditure</t>
  </si>
  <si>
    <t>Tobacco, alcohol, non-medical cannabis, and games of chance</t>
  </si>
  <si>
    <t>Education and reading materials</t>
  </si>
  <si>
    <t>Subtotal</t>
  </si>
  <si>
    <t>Share of total (%)</t>
  </si>
  <si>
    <t>Table S10. Household expenditure, Capital investment and Government emissions calculated for the Province of Quebec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</si>
</sst>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1" fontId="2" fillId="0" borderId="1" xfId="0" applyNumberFormat="1" applyFont="1" applyBorder="1"/>
    <xf numFmtId="164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9" fontId="2" fillId="0" borderId="1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93C5-3673-4520-B312-0F6F2576699F}">
  <dimension ref="A1:F28"/>
  <sheetViews>
    <sheetView tabSelected="1" workbookViewId="0">
      <selection activeCell="A2" sqref="A2"/>
    </sheetView>
  </sheetViews>
  <sheetFormatPr baseColWidth="10" defaultRowHeight="14.4" x14ac:dyDescent="0.3"/>
  <cols>
    <col min="1" max="1" width="39.6640625" customWidth="1"/>
    <col min="2" max="2" width="42.6640625" bestFit="1" customWidth="1"/>
    <col min="3" max="3" width="12" bestFit="1" customWidth="1"/>
  </cols>
  <sheetData>
    <row r="1" spans="1:6" x14ac:dyDescent="0.3">
      <c r="A1" s="7" t="s">
        <v>32</v>
      </c>
    </row>
    <row r="3" spans="1:6" ht="28.8" x14ac:dyDescent="0.3">
      <c r="A3" s="1" t="s">
        <v>0</v>
      </c>
      <c r="B3" s="1" t="s">
        <v>18</v>
      </c>
      <c r="C3" s="1" t="s">
        <v>1</v>
      </c>
      <c r="D3" s="2" t="s">
        <v>2</v>
      </c>
      <c r="E3" s="2" t="s">
        <v>3</v>
      </c>
      <c r="F3" s="2" t="s">
        <v>31</v>
      </c>
    </row>
    <row r="4" spans="1:6" x14ac:dyDescent="0.3">
      <c r="A4" s="3" t="s">
        <v>27</v>
      </c>
      <c r="B4" s="8" t="s">
        <v>19</v>
      </c>
      <c r="C4" s="4">
        <v>28178353.285466999</v>
      </c>
      <c r="D4" s="9">
        <f>+C4/3732791</f>
        <v>7.5488698096054661</v>
      </c>
      <c r="E4" s="10">
        <f>+C4/8521542</f>
        <v>3.306719990990715</v>
      </c>
      <c r="F4" s="11">
        <f>+C4/$C$28</f>
        <v>0.24641858540927447</v>
      </c>
    </row>
    <row r="5" spans="1:6" x14ac:dyDescent="0.3">
      <c r="A5" s="3" t="s">
        <v>27</v>
      </c>
      <c r="B5" s="8" t="s">
        <v>20</v>
      </c>
      <c r="C5" s="4">
        <v>18033302.599949501</v>
      </c>
      <c r="D5" s="9">
        <f t="shared" ref="D5:D13" si="0">+C5/3732791</f>
        <v>4.8310507070847262</v>
      </c>
      <c r="E5" s="10">
        <f t="shared" ref="E5:E13" si="1">+C5/8521542</f>
        <v>2.1162018094787896</v>
      </c>
      <c r="F5" s="11">
        <f t="shared" ref="F5:F27" si="2">+C5/$C$28</f>
        <v>0.15770051826374146</v>
      </c>
    </row>
    <row r="6" spans="1:6" x14ac:dyDescent="0.3">
      <c r="A6" s="3" t="s">
        <v>27</v>
      </c>
      <c r="B6" s="8" t="s">
        <v>21</v>
      </c>
      <c r="C6" s="4">
        <v>11499274.5603463</v>
      </c>
      <c r="D6" s="9">
        <f t="shared" si="0"/>
        <v>3.0806103423273092</v>
      </c>
      <c r="E6" s="10">
        <f t="shared" si="1"/>
        <v>1.3494358838278682</v>
      </c>
      <c r="F6" s="11">
        <f t="shared" si="2"/>
        <v>0.10056070138970259</v>
      </c>
    </row>
    <row r="7" spans="1:6" x14ac:dyDescent="0.3">
      <c r="A7" s="3" t="s">
        <v>27</v>
      </c>
      <c r="B7" s="8" t="s">
        <v>22</v>
      </c>
      <c r="C7" s="4">
        <v>8833874.8903835006</v>
      </c>
      <c r="D7" s="9">
        <f t="shared" si="0"/>
        <v>2.3665602736353311</v>
      </c>
      <c r="E7" s="10">
        <f t="shared" si="1"/>
        <v>1.0366521564270295</v>
      </c>
      <c r="F7" s="11">
        <f t="shared" si="2"/>
        <v>7.7251886656326138E-2</v>
      </c>
    </row>
    <row r="8" spans="1:6" x14ac:dyDescent="0.3">
      <c r="A8" s="3" t="s">
        <v>27</v>
      </c>
      <c r="B8" s="8" t="s">
        <v>23</v>
      </c>
      <c r="C8" s="4">
        <v>4569939.9389641704</v>
      </c>
      <c r="D8" s="9">
        <f t="shared" si="0"/>
        <v>1.2242689019996487</v>
      </c>
      <c r="E8" s="10">
        <f t="shared" si="1"/>
        <v>0.53628086782464612</v>
      </c>
      <c r="F8" s="11">
        <f t="shared" si="2"/>
        <v>3.9963944087027012E-2</v>
      </c>
    </row>
    <row r="9" spans="1:6" x14ac:dyDescent="0.3">
      <c r="A9" s="3" t="s">
        <v>27</v>
      </c>
      <c r="B9" s="8" t="s">
        <v>28</v>
      </c>
      <c r="C9" s="4">
        <v>2409753.0971929901</v>
      </c>
      <c r="D9" s="9">
        <f t="shared" si="0"/>
        <v>0.64556335921110775</v>
      </c>
      <c r="E9" s="10">
        <f t="shared" si="1"/>
        <v>0.28278369069741016</v>
      </c>
      <c r="F9" s="11">
        <f t="shared" si="2"/>
        <v>2.1073195561863132E-2</v>
      </c>
    </row>
    <row r="10" spans="1:6" x14ac:dyDescent="0.3">
      <c r="A10" s="3" t="s">
        <v>27</v>
      </c>
      <c r="B10" s="8" t="s">
        <v>24</v>
      </c>
      <c r="C10" s="4">
        <v>2102857.6266440302</v>
      </c>
      <c r="D10" s="9">
        <f t="shared" si="0"/>
        <v>0.56334727195924716</v>
      </c>
      <c r="E10" s="10">
        <f t="shared" si="1"/>
        <v>0.24676961360326924</v>
      </c>
      <c r="F10" s="11">
        <f t="shared" si="2"/>
        <v>1.838940680547076E-2</v>
      </c>
    </row>
    <row r="11" spans="1:6" x14ac:dyDescent="0.3">
      <c r="A11" s="3" t="s">
        <v>27</v>
      </c>
      <c r="B11" s="8" t="s">
        <v>25</v>
      </c>
      <c r="C11" s="4">
        <v>1370765.25022018</v>
      </c>
      <c r="D11" s="9">
        <f t="shared" si="0"/>
        <v>0.36722260909335136</v>
      </c>
      <c r="E11" s="10">
        <f t="shared" si="1"/>
        <v>0.16085882698462087</v>
      </c>
      <c r="F11" s="11">
        <f t="shared" si="2"/>
        <v>1.198728791797987E-2</v>
      </c>
    </row>
    <row r="12" spans="1:6" x14ac:dyDescent="0.3">
      <c r="A12" s="3" t="s">
        <v>27</v>
      </c>
      <c r="B12" s="8" t="s">
        <v>26</v>
      </c>
      <c r="C12" s="4">
        <v>1269728.33796942</v>
      </c>
      <c r="D12" s="9">
        <f t="shared" si="0"/>
        <v>0.34015521843291524</v>
      </c>
      <c r="E12" s="10">
        <f t="shared" si="1"/>
        <v>0.14900218035297133</v>
      </c>
      <c r="F12" s="11">
        <f t="shared" si="2"/>
        <v>1.1103724114988086E-2</v>
      </c>
    </row>
    <row r="13" spans="1:6" x14ac:dyDescent="0.3">
      <c r="A13" s="3" t="s">
        <v>27</v>
      </c>
      <c r="B13" s="8" t="s">
        <v>29</v>
      </c>
      <c r="C13" s="4">
        <v>392579.96165626001</v>
      </c>
      <c r="D13" s="9">
        <f t="shared" si="0"/>
        <v>0.10517062478350918</v>
      </c>
      <c r="E13" s="10">
        <f t="shared" si="1"/>
        <v>4.6069122425995201E-2</v>
      </c>
      <c r="F13" s="11">
        <f t="shared" si="2"/>
        <v>3.4330962434648725E-3</v>
      </c>
    </row>
    <row r="14" spans="1:6" x14ac:dyDescent="0.3">
      <c r="A14" s="12" t="s">
        <v>27</v>
      </c>
      <c r="B14" s="13" t="s">
        <v>30</v>
      </c>
      <c r="C14" s="14">
        <f>+SUM(C4:C13)</f>
        <v>78660429.548793346</v>
      </c>
      <c r="D14" s="15">
        <f>+SUM(D4:D13)</f>
        <v>21.07281911813261</v>
      </c>
      <c r="E14" s="15">
        <f>+SUM(E4:E13)</f>
        <v>9.230774142613317</v>
      </c>
      <c r="F14" s="19">
        <f>+SUM(F4:F13)</f>
        <v>0.68788234644983837</v>
      </c>
    </row>
    <row r="15" spans="1:6" x14ac:dyDescent="0.3">
      <c r="A15" s="3" t="s">
        <v>4</v>
      </c>
      <c r="B15" s="3" t="s">
        <v>5</v>
      </c>
      <c r="C15" s="4">
        <v>204425.77415172619</v>
      </c>
      <c r="D15" s="5">
        <f>+C15/3732791</f>
        <v>5.4764859364407538E-2</v>
      </c>
      <c r="E15" s="6">
        <f>+C15/8521542</f>
        <v>2.3989293739528149E-2</v>
      </c>
      <c r="F15" s="11">
        <f t="shared" si="2"/>
        <v>1.7876953126868761E-3</v>
      </c>
    </row>
    <row r="16" spans="1:6" x14ac:dyDescent="0.3">
      <c r="A16" s="3" t="s">
        <v>4</v>
      </c>
      <c r="B16" s="3" t="s">
        <v>6</v>
      </c>
      <c r="C16" s="4">
        <v>1520844.6741949168</v>
      </c>
      <c r="D16" s="5">
        <f t="shared" ref="D16:D27" si="3">+C16/3732791</f>
        <v>0.40742829539476411</v>
      </c>
      <c r="E16" s="6">
        <f t="shared" ref="E16:E27" si="4">+C16/8521542</f>
        <v>0.17847059536817594</v>
      </c>
      <c r="F16" s="11">
        <f t="shared" si="2"/>
        <v>1.3299726547030882E-2</v>
      </c>
    </row>
    <row r="17" spans="1:6" x14ac:dyDescent="0.3">
      <c r="A17" s="3" t="s">
        <v>4</v>
      </c>
      <c r="B17" s="3" t="s">
        <v>7</v>
      </c>
      <c r="C17" s="4">
        <v>1614296.628593602</v>
      </c>
      <c r="D17" s="5">
        <f t="shared" si="3"/>
        <v>0.43246370573482468</v>
      </c>
      <c r="E17" s="6">
        <f t="shared" si="4"/>
        <v>0.18943714982494975</v>
      </c>
      <c r="F17" s="11">
        <f t="shared" si="2"/>
        <v>1.41169601934886E-2</v>
      </c>
    </row>
    <row r="18" spans="1:6" x14ac:dyDescent="0.3">
      <c r="A18" s="3" t="s">
        <v>4</v>
      </c>
      <c r="B18" s="3" t="s">
        <v>8</v>
      </c>
      <c r="C18" s="4">
        <v>550198.22158180573</v>
      </c>
      <c r="D18" s="5">
        <f t="shared" si="3"/>
        <v>0.14739593552968963</v>
      </c>
      <c r="E18" s="6">
        <f t="shared" si="4"/>
        <v>6.4565570595299035E-2</v>
      </c>
      <c r="F18" s="11">
        <f t="shared" si="2"/>
        <v>4.8114616948468775E-3</v>
      </c>
    </row>
    <row r="19" spans="1:6" x14ac:dyDescent="0.3">
      <c r="A19" s="3" t="s">
        <v>4</v>
      </c>
      <c r="B19" s="3" t="s">
        <v>9</v>
      </c>
      <c r="C19" s="4">
        <v>357367.2673425625</v>
      </c>
      <c r="D19" s="5">
        <f t="shared" si="3"/>
        <v>9.5737282730954526E-2</v>
      </c>
      <c r="E19" s="6">
        <f t="shared" si="4"/>
        <v>4.1936924953554472E-2</v>
      </c>
      <c r="F19" s="11">
        <f t="shared" si="2"/>
        <v>3.1251626238766143E-3</v>
      </c>
    </row>
    <row r="20" spans="1:6" x14ac:dyDescent="0.3">
      <c r="A20" s="3" t="s">
        <v>4</v>
      </c>
      <c r="B20" s="3" t="s">
        <v>10</v>
      </c>
      <c r="C20" s="4">
        <v>1291805.0400043759</v>
      </c>
      <c r="D20" s="5">
        <f t="shared" si="3"/>
        <v>0.34606947991579917</v>
      </c>
      <c r="E20" s="6">
        <f t="shared" si="4"/>
        <v>0.1515928736846425</v>
      </c>
      <c r="F20" s="11">
        <f t="shared" si="2"/>
        <v>1.1296784001449286E-2</v>
      </c>
    </row>
    <row r="21" spans="1:6" x14ac:dyDescent="0.3">
      <c r="A21" s="3" t="s">
        <v>4</v>
      </c>
      <c r="B21" s="3" t="s">
        <v>11</v>
      </c>
      <c r="C21" s="4">
        <v>1524344.8137833741</v>
      </c>
      <c r="D21" s="5">
        <f t="shared" si="3"/>
        <v>0.40836596899836453</v>
      </c>
      <c r="E21" s="6">
        <f t="shared" si="4"/>
        <v>0.17888133553567817</v>
      </c>
      <c r="F21" s="11">
        <f t="shared" si="2"/>
        <v>1.3330335129348838E-2</v>
      </c>
    </row>
    <row r="22" spans="1:6" x14ac:dyDescent="0.3">
      <c r="A22" s="3" t="s">
        <v>4</v>
      </c>
      <c r="B22" s="3" t="s">
        <v>12</v>
      </c>
      <c r="C22" s="4">
        <v>2970726.5638503591</v>
      </c>
      <c r="D22" s="5">
        <f t="shared" si="3"/>
        <v>0.79584594043715795</v>
      </c>
      <c r="E22" s="6">
        <f t="shared" si="4"/>
        <v>0.34861373256745776</v>
      </c>
      <c r="F22" s="11">
        <f t="shared" si="2"/>
        <v>2.5978886348880841E-2</v>
      </c>
    </row>
    <row r="23" spans="1:6" x14ac:dyDescent="0.3">
      <c r="A23" s="12" t="s">
        <v>4</v>
      </c>
      <c r="B23" s="13" t="s">
        <v>30</v>
      </c>
      <c r="C23" s="14">
        <f>+SUM(C15:C22)</f>
        <v>10034008.983502723</v>
      </c>
      <c r="D23" s="16">
        <f t="shared" si="3"/>
        <v>2.6880714681059623</v>
      </c>
      <c r="E23" s="17">
        <f t="shared" si="4"/>
        <v>1.177487476269286</v>
      </c>
      <c r="F23" s="18">
        <f t="shared" si="2"/>
        <v>8.7747011851608825E-2</v>
      </c>
    </row>
    <row r="24" spans="1:6" x14ac:dyDescent="0.3">
      <c r="A24" s="3" t="s">
        <v>15</v>
      </c>
      <c r="B24" s="3" t="s">
        <v>13</v>
      </c>
      <c r="C24" s="4">
        <v>18464982.543672554</v>
      </c>
      <c r="D24" s="5">
        <f t="shared" si="3"/>
        <v>4.9466960629921566</v>
      </c>
      <c r="E24" s="6">
        <f t="shared" si="4"/>
        <v>2.1668593012476562</v>
      </c>
      <c r="F24" s="11">
        <f t="shared" si="2"/>
        <v>0.16147554230450584</v>
      </c>
    </row>
    <row r="25" spans="1:6" x14ac:dyDescent="0.3">
      <c r="A25" s="3" t="s">
        <v>15</v>
      </c>
      <c r="B25" s="3" t="s">
        <v>14</v>
      </c>
      <c r="C25" s="4">
        <v>2702448.3509342801</v>
      </c>
      <c r="D25" s="5">
        <f t="shared" si="3"/>
        <v>0.72397526433552806</v>
      </c>
      <c r="E25" s="6">
        <f t="shared" si="4"/>
        <v>0.31713137727118873</v>
      </c>
      <c r="F25" s="11">
        <f t="shared" si="2"/>
        <v>2.363280398369863E-2</v>
      </c>
    </row>
    <row r="26" spans="1:6" x14ac:dyDescent="0.3">
      <c r="A26" s="3" t="s">
        <v>15</v>
      </c>
      <c r="B26" s="3" t="s">
        <v>16</v>
      </c>
      <c r="C26" s="4">
        <v>4489705.3078754041</v>
      </c>
      <c r="D26" s="5">
        <f t="shared" si="3"/>
        <v>1.2027743604920298</v>
      </c>
      <c r="E26" s="6">
        <f t="shared" si="4"/>
        <v>0.52686536167695985</v>
      </c>
      <c r="F26" s="11">
        <f t="shared" si="2"/>
        <v>3.9262295410348452E-2</v>
      </c>
    </row>
    <row r="27" spans="1:6" x14ac:dyDescent="0.3">
      <c r="A27" s="12" t="s">
        <v>15</v>
      </c>
      <c r="B27" s="13" t="s">
        <v>30</v>
      </c>
      <c r="C27" s="14">
        <f>+SUM(C24:C26)</f>
        <v>25657136.202482238</v>
      </c>
      <c r="D27" s="16">
        <f t="shared" si="3"/>
        <v>6.8734456878197143</v>
      </c>
      <c r="E27" s="17">
        <f t="shared" si="4"/>
        <v>3.0108560401958049</v>
      </c>
      <c r="F27" s="18">
        <f t="shared" si="2"/>
        <v>0.22437064169855292</v>
      </c>
    </row>
    <row r="28" spans="1:6" x14ac:dyDescent="0.3">
      <c r="A28" s="20" t="s">
        <v>17</v>
      </c>
      <c r="B28" s="21"/>
      <c r="C28" s="14">
        <f>+SUM(C14+C23+C27)</f>
        <v>114351574.7347783</v>
      </c>
      <c r="D28" s="14">
        <f t="shared" ref="D28:E28" si="5">+SUM(D14+D23+D27)</f>
        <v>30.634336274058288</v>
      </c>
      <c r="E28" s="14">
        <f t="shared" si="5"/>
        <v>13.419117659078408</v>
      </c>
      <c r="F28" s="18">
        <f>+C28/$C$28</f>
        <v>1</v>
      </c>
    </row>
  </sheetData>
  <mergeCells count="1">
    <mergeCell ref="A28:B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2026-06-11T12:28:39Z</dcterms:created>
  <dcterms:modified xsi:type="dcterms:W3CDTF">2026-06-11T18:13:47Z</dcterms:modified>
</cp:coreProperties>
</file>